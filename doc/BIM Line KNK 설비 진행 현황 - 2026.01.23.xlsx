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.자동화장비\탑엔지니어링\1. BIM LINE\0. Lay-Out\3. 고객사 송부자료\05. BIM Line 3D 자료 송부 건 - 2026.01.23\"/>
    </mc:Choice>
  </mc:AlternateContent>
  <xr:revisionPtr revIDLastSave="0" documentId="8_{3DDFEEA4-5095-4B18-B0BF-91FC718CA5A2}" xr6:coauthVersionLast="47" xr6:coauthVersionMax="47" xr10:uidLastSave="{00000000-0000-0000-0000-000000000000}"/>
  <bookViews>
    <workbookView xWindow="-28920" yWindow="507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1" l="1"/>
  <c r="G6" i="1"/>
  <c r="G13" i="1" s="1"/>
  <c r="D13" i="1"/>
  <c r="E13" i="1"/>
  <c r="C13" i="1"/>
</calcChain>
</file>

<file path=xl/sharedStrings.xml><?xml version="1.0" encoding="utf-8"?>
<sst xmlns="http://schemas.openxmlformats.org/spreadsheetml/2006/main" count="22" uniqueCount="20">
  <si>
    <t>BIM LINE 설비별 진행 현황 자료</t>
    <phoneticPr fontId="1" type="noConversion"/>
  </si>
  <si>
    <t>순번</t>
    <phoneticPr fontId="1" type="noConversion"/>
  </si>
  <si>
    <t>설비명</t>
    <phoneticPr fontId="1" type="noConversion"/>
  </si>
  <si>
    <t>발주현황</t>
    <phoneticPr fontId="1" type="noConversion"/>
  </si>
  <si>
    <t>가공품</t>
    <phoneticPr fontId="1" type="noConversion"/>
  </si>
  <si>
    <t>구매품</t>
    <phoneticPr fontId="1" type="noConversion"/>
  </si>
  <si>
    <t>입고현황</t>
    <phoneticPr fontId="1" type="noConversion"/>
  </si>
  <si>
    <t>비고</t>
    <phoneticPr fontId="1" type="noConversion"/>
  </si>
  <si>
    <t>DOT DISPENSER</t>
    <phoneticPr fontId="1" type="noConversion"/>
  </si>
  <si>
    <t>조립기</t>
    <phoneticPr fontId="1" type="noConversion"/>
  </si>
  <si>
    <t>주입기</t>
    <phoneticPr fontId="1" type="noConversion"/>
  </si>
  <si>
    <t>주입기투배출기</t>
    <phoneticPr fontId="1" type="noConversion"/>
  </si>
  <si>
    <t>UV Cure 투입기</t>
    <phoneticPr fontId="1" type="noConversion"/>
  </si>
  <si>
    <t>Dwell Conveyor</t>
    <phoneticPr fontId="1" type="noConversion"/>
  </si>
  <si>
    <t>해체기</t>
    <phoneticPr fontId="1" type="noConversion"/>
  </si>
  <si>
    <t>치수검사기</t>
    <phoneticPr fontId="1" type="noConversion"/>
  </si>
  <si>
    <t>Return Conveyor</t>
    <phoneticPr fontId="1" type="noConversion"/>
  </si>
  <si>
    <t>장납기</t>
    <phoneticPr fontId="1" type="noConversion"/>
  </si>
  <si>
    <t>가공품 : 01/23 완료 예정</t>
    <phoneticPr fontId="1" type="noConversion"/>
  </si>
  <si>
    <t>종합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</si>
</sst>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17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15" zoomScaleNormal="115" workbookViewId="0">
      <selection activeCell="K4" sqref="K4"/>
    </sheetView>
  </sheetViews>
  <sheetFormatPr defaultRowHeight="16.5" x14ac:dyDescent="0.3"/>
  <cols>
    <col min="2" max="2" width="18.5" customWidth="1"/>
    <col min="3" max="7" width="10.625" customWidth="1"/>
    <col min="8" max="8" width="23.25" customWidth="1"/>
  </cols>
  <sheetData>
    <row r="1" spans="1:8" ht="34.5" customHeight="1" x14ac:dyDescent="0.3">
      <c r="A1" s="25" t="s">
        <v>0</v>
      </c>
      <c r="B1" s="26"/>
      <c r="C1" s="26"/>
      <c r="D1" s="26"/>
      <c r="E1" s="26"/>
      <c r="F1" s="26"/>
      <c r="G1" s="26"/>
      <c r="H1" s="27"/>
    </row>
    <row r="2" spans="1:8" ht="24.95" customHeight="1" x14ac:dyDescent="0.3">
      <c r="A2" s="28" t="s">
        <v>1</v>
      </c>
      <c r="B2" s="22" t="s">
        <v>2</v>
      </c>
      <c r="C2" s="22" t="s">
        <v>3</v>
      </c>
      <c r="D2" s="22"/>
      <c r="E2" s="22"/>
      <c r="F2" s="22" t="s">
        <v>6</v>
      </c>
      <c r="G2" s="22"/>
      <c r="H2" s="23" t="s">
        <v>7</v>
      </c>
    </row>
    <row r="3" spans="1:8" ht="24.95" customHeight="1" thickBot="1" x14ac:dyDescent="0.35">
      <c r="A3" s="29"/>
      <c r="B3" s="30"/>
      <c r="C3" s="16" t="s">
        <v>4</v>
      </c>
      <c r="D3" s="16" t="s">
        <v>17</v>
      </c>
      <c r="E3" s="16" t="s">
        <v>5</v>
      </c>
      <c r="F3" s="16" t="s">
        <v>4</v>
      </c>
      <c r="G3" s="16" t="s">
        <v>5</v>
      </c>
      <c r="H3" s="24"/>
    </row>
    <row r="4" spans="1:8" ht="24.95" customHeight="1" thickTop="1" x14ac:dyDescent="0.3">
      <c r="A4" s="11">
        <v>1</v>
      </c>
      <c r="B4" s="12" t="s">
        <v>8</v>
      </c>
      <c r="C4" s="14">
        <v>0.9</v>
      </c>
      <c r="D4" s="14">
        <v>1</v>
      </c>
      <c r="E4" s="14">
        <v>0.8</v>
      </c>
      <c r="F4" s="13"/>
      <c r="G4" s="14">
        <v>0.35</v>
      </c>
      <c r="H4" s="15" t="s">
        <v>18</v>
      </c>
    </row>
    <row r="5" spans="1:8" ht="24.95" customHeight="1" x14ac:dyDescent="0.3">
      <c r="A5" s="4">
        <v>2</v>
      </c>
      <c r="B5" s="2" t="s">
        <v>9</v>
      </c>
      <c r="C5" s="3">
        <v>0</v>
      </c>
      <c r="D5" s="3">
        <v>1</v>
      </c>
      <c r="E5" s="3">
        <v>0.7</v>
      </c>
      <c r="F5" s="1"/>
      <c r="G5" s="3"/>
      <c r="H5" s="5"/>
    </row>
    <row r="6" spans="1:8" ht="24.95" customHeight="1" x14ac:dyDescent="0.3">
      <c r="A6" s="4">
        <v>3</v>
      </c>
      <c r="B6" s="2" t="s">
        <v>10</v>
      </c>
      <c r="C6" s="3">
        <v>0.95</v>
      </c>
      <c r="D6" s="3">
        <v>1</v>
      </c>
      <c r="E6" s="3">
        <v>0.9</v>
      </c>
      <c r="F6" s="1"/>
      <c r="G6" s="3">
        <f>180/293</f>
        <v>0.61433447098976113</v>
      </c>
      <c r="H6" s="5"/>
    </row>
    <row r="7" spans="1:8" ht="24.95" customHeight="1" x14ac:dyDescent="0.3">
      <c r="A7" s="4">
        <v>4</v>
      </c>
      <c r="B7" s="2" t="s">
        <v>11</v>
      </c>
      <c r="C7" s="3">
        <v>1</v>
      </c>
      <c r="D7" s="3">
        <v>1</v>
      </c>
      <c r="E7" s="3">
        <v>0.7</v>
      </c>
      <c r="F7" s="1"/>
      <c r="G7" s="3"/>
      <c r="H7" s="5"/>
    </row>
    <row r="8" spans="1:8" ht="24.95" customHeight="1" x14ac:dyDescent="0.3">
      <c r="A8" s="4">
        <v>5</v>
      </c>
      <c r="B8" s="2" t="s">
        <v>12</v>
      </c>
      <c r="C8" s="3">
        <v>1</v>
      </c>
      <c r="D8" s="3">
        <v>1</v>
      </c>
      <c r="E8" s="3">
        <v>0.7</v>
      </c>
      <c r="F8" s="1"/>
      <c r="G8" s="3"/>
      <c r="H8" s="5"/>
    </row>
    <row r="9" spans="1:8" ht="24.95" customHeight="1" x14ac:dyDescent="0.3">
      <c r="A9" s="4">
        <v>6</v>
      </c>
      <c r="B9" s="2" t="s">
        <v>13</v>
      </c>
      <c r="C9" s="3">
        <v>0</v>
      </c>
      <c r="D9" s="3">
        <v>1</v>
      </c>
      <c r="E9" s="3">
        <v>0.1</v>
      </c>
      <c r="F9" s="1"/>
      <c r="G9" s="3"/>
      <c r="H9" s="5"/>
    </row>
    <row r="10" spans="1:8" ht="24.95" customHeight="1" x14ac:dyDescent="0.3">
      <c r="A10" s="4">
        <v>7</v>
      </c>
      <c r="B10" s="2" t="s">
        <v>14</v>
      </c>
      <c r="C10" s="3">
        <v>0</v>
      </c>
      <c r="D10" s="3">
        <v>1</v>
      </c>
      <c r="E10" s="3">
        <v>0.7</v>
      </c>
      <c r="F10" s="1"/>
      <c r="G10" s="3"/>
      <c r="H10" s="5"/>
    </row>
    <row r="11" spans="1:8" ht="24.95" customHeight="1" x14ac:dyDescent="0.3">
      <c r="A11" s="4">
        <v>8</v>
      </c>
      <c r="B11" s="2" t="s">
        <v>15</v>
      </c>
      <c r="C11" s="3">
        <v>1</v>
      </c>
      <c r="D11" s="3">
        <v>1</v>
      </c>
      <c r="E11" s="3">
        <v>1</v>
      </c>
      <c r="F11" s="1"/>
      <c r="G11" s="3">
        <f>60/121</f>
        <v>0.49586776859504134</v>
      </c>
      <c r="H11" s="5"/>
    </row>
    <row r="12" spans="1:8" ht="24.95" customHeight="1" thickBot="1" x14ac:dyDescent="0.35">
      <c r="A12" s="6">
        <v>9</v>
      </c>
      <c r="B12" s="7" t="s">
        <v>16</v>
      </c>
      <c r="C12" s="17">
        <v>0</v>
      </c>
      <c r="D12" s="9"/>
      <c r="E12" s="17">
        <v>0</v>
      </c>
      <c r="F12" s="8"/>
      <c r="G12" s="17"/>
      <c r="H12" s="10"/>
    </row>
    <row r="13" spans="1:8" ht="24.95" customHeight="1" thickBot="1" x14ac:dyDescent="0.35">
      <c r="A13" s="20" t="s">
        <v>19</v>
      </c>
      <c r="B13" s="21"/>
      <c r="C13" s="18">
        <f>AVERAGE(C4:C12)</f>
        <v>0.53888888888888886</v>
      </c>
      <c r="D13" s="18">
        <f t="shared" ref="D13:G13" si="0">AVERAGE(D4:D12)</f>
        <v>1</v>
      </c>
      <c r="E13" s="18">
        <f t="shared" si="0"/>
        <v>0.62222222222222223</v>
      </c>
      <c r="F13" s="18"/>
      <c r="G13" s="18">
        <f t="shared" si="0"/>
        <v>0.48673407986160083</v>
      </c>
      <c r="H13" s="19"/>
    </row>
  </sheetData>
  <mergeCells count="7">
    <mergeCell ref="A13:B13"/>
    <mergeCell ref="C2:E2"/>
    <mergeCell ref="F2:G2"/>
    <mergeCell ref="H2:H3"/>
    <mergeCell ref="A1:H1"/>
    <mergeCell ref="A2:A3"/>
    <mergeCell ref="B2:B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jkjung</dc:creator>
  <cp:lastModifiedBy>정민규</cp:lastModifiedBy>
  <dcterms:created xsi:type="dcterms:W3CDTF">2026-01-19T08:56:09Z</dcterms:created>
  <dcterms:modified xsi:type="dcterms:W3CDTF">2026-01-23T06:34:52Z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YtMDEtMTlUMDk6MDY6MThaIiwicElEIjoyMDQ4LCJ0cmFjZUlkIjoiQjUxN0YzQkU0QzNCNDQyNjlGQTU0NjQzMzAyNzM3NzgiLCJ1c2VyQ29kZSI6ImpranVuZ0B0b3BlbmduZXQuY29tIn0sIm5vZGUyIjp7ImRzZCI6IjAxMDAwMDAwMDAwMDI0MDMiLCJsb2dUaW1lIjoiMjAyNi0wMS0xOVQwOTowOToxOFoiLCJwSUQiOjEsInRyYWNlSWQiOiI0QTVEQTYyMjkyNDc0NDM0OEZGQzM2Q0RCMUM0QjU4MiIsInVzZXJDb2RlIjoiamtqdW5nQHRvcGVuZ25ldC5jb20ifSwibm9kZTMiOnsiZHNkIjoiMDEwMDAwMDAwMDAwMjQwMyIsImxvZ1RpbWUiOiIyMDI2LTAxLTE5VDIzOjI4OjIwWiIsInBJRCI6MSwidHJhY2VJZCI6IkJCNjA2RjZDOTlERDQ0RkU5MEQ3QTkwRUVGQkE1REVBIiwidXNlckNvZGUiOiJqa2p1bmdAdG9wZW5nbmV0LmNvbSJ9LCJub2RlNCI6eyJkc2QiOiIwMTAwMDAwMDAwMDAyNDAzIiwibG9nVGltZSI6IjIwMjYtMDEtMjNUMDE6MDE6MzFaIiwicElEIjoxLCJ0cmFjZUlkIjoiMjU2NTMyRUQzNTYyNEM0MUE4MDA2RkM1RTlFQkYwQjMiLCJ1c2VyQ29kZSI6ImpranVuZ0B0b3BlbmduZXQuY29tIn0sIm5vZGU1Ijp7ImRzZCI6IjAwMDAwMDAwMDAwMDAwMDAiLCJsb2dUaW1lIjoiMjAyNi0wMS0yM1QwMTowMTozMVoiLCJwSUQiOjIwNDgsInRyYWNlSWQiOiJBQzc2MkI2REQxQjg0NjU3QTc3QUI4OTcwNDYzRjdEQSIsInVzZXJDb2RlIjoiamtqdW5nQHRvcGVuZ25ldC5jb20ifSwibm9kZUNvdW50Ijo2fQ==</vt:lpwstr>
  </property>
</Properties>
</file>